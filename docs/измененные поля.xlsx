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мер" sheetId="1" r:id="rId4"/>
    <sheet state="hidden" name="13)Ернур" sheetId="2" r:id="rId5"/>
    <sheet state="hidden" name="РЕЕСТР ФЕВРАЛЬ" sheetId="3" r:id="rId6"/>
  </sheets>
  <definedNames/>
  <calcPr/>
  <extLst>
    <ext uri="GoogleSheetsCustomDataVersion2">
      <go:sheetsCustomData xmlns:go="http://customooxmlschemas.google.com/" r:id="rId7" roundtripDataChecksum="XVgjSNcRv9dAadtqthhb2+AUxhy4EUAiI+yYN5cSGkA="/>
    </ext>
  </extLst>
</workbook>
</file>

<file path=xl/sharedStrings.xml><?xml version="1.0" encoding="utf-8"?>
<sst xmlns="http://schemas.openxmlformats.org/spreadsheetml/2006/main" count="245" uniqueCount="83">
  <si>
    <t>ФИО: Айнар</t>
  </si>
  <si>
    <t>ФИО Проверяющего:</t>
  </si>
  <si>
    <t>Aizhan S</t>
  </si>
  <si>
    <t>Дата проверки ОКК звонка:</t>
  </si>
  <si>
    <t>Длительность разговора:</t>
  </si>
  <si>
    <t>Ссылка на лид в CRM:</t>
  </si>
  <si>
    <t>Блок:</t>
  </si>
  <si>
    <t>№</t>
  </si>
  <si>
    <t>Критерии:</t>
  </si>
  <si>
    <t>диапазон</t>
  </si>
  <si>
    <t>да/нет</t>
  </si>
  <si>
    <t>оценка</t>
  </si>
  <si>
    <t>комментарий</t>
  </si>
  <si>
    <t>Приветствие</t>
  </si>
  <si>
    <t>Поздоровался / назвал свое имя, компанию, причину звонка?</t>
  </si>
  <si>
    <t>0-1</t>
  </si>
  <si>
    <t>да</t>
  </si>
  <si>
    <t>Менеджер уточнил имя клиента?</t>
  </si>
  <si>
    <t>Сделал программирование клиента, чтобы управлять разговором</t>
  </si>
  <si>
    <t>0-3</t>
  </si>
  <si>
    <t>Выявление потребности</t>
  </si>
  <si>
    <t>Уточнил срок планируемой покупки квартиры?</t>
  </si>
  <si>
    <t>0-4</t>
  </si>
  <si>
    <t>Уточнил способ оплаты (ипотека / наличные / рассрочка)?</t>
  </si>
  <si>
    <t>Уточнил размер первоначального взноса?</t>
  </si>
  <si>
    <t>0-5</t>
  </si>
  <si>
    <t>Задал клиенту минимум один дополнительный вопрос для выявления истинной потребности</t>
  </si>
  <si>
    <t>Презентация</t>
  </si>
  <si>
    <t>Полное знание проекта Озвучены действующие акции и уникальные торговые предложения</t>
  </si>
  <si>
    <t>Сделал презентацию под потребности клиента</t>
  </si>
  <si>
    <t>0-6</t>
  </si>
  <si>
    <t>Закрытие на КЭВ:</t>
  </si>
  <si>
    <t>Предпринял минимум 2 попытки закрыть на встречу</t>
  </si>
  <si>
    <t>0-15</t>
  </si>
  <si>
    <t>Резюмировал диалог с клиентом
Изменить на рассказал о преимуществазх посещения в оп</t>
  </si>
  <si>
    <t>Договорился о конкретном времени следующего контакта</t>
  </si>
  <si>
    <t>Отправил на WhatsApp всю информацию о проекте, прописал дату, время встречи, адрес</t>
  </si>
  <si>
    <t>0-2</t>
  </si>
  <si>
    <r>
      <rPr>
        <rFont val="Montserrat"/>
        <b/>
        <color theme="1"/>
        <sz val="9.0"/>
      </rPr>
      <t xml:space="preserve">Отработка возражений </t>
    </r>
    <r>
      <rPr>
        <rFont val="Montserrat"/>
        <b val="0"/>
        <color theme="1"/>
        <sz val="9.0"/>
      </rPr>
      <t>(если их не было, ставится полный бал)</t>
    </r>
  </si>
  <si>
    <t>Уточнил причину возражения?</t>
  </si>
  <si>
    <t>Присоединился к возражению («Согласна, понимаю вас»)</t>
  </si>
  <si>
    <t>Использовал аргументы (цифры, факты, примеры)? Использовал во время презентации те плюсы которые интересны клиенту?</t>
  </si>
  <si>
    <t xml:space="preserve">Закрыл возражение клиента согласно структуре
</t>
  </si>
  <si>
    <t>Дал клиенту альтернативное решение (другой жк) / вариант выхода из ситуации?</t>
  </si>
  <si>
    <t>CRM данные и выполнение задач:</t>
  </si>
  <si>
    <t>Внёс все данные о клиенте и договоренности в CRM?</t>
  </si>
  <si>
    <t>Качественно выполнял касания, ставил задачи на небольшой промежуток</t>
  </si>
  <si>
    <t>Целенаправленно и аргументированно дожимал на КЭВ</t>
  </si>
  <si>
    <t>0-12</t>
  </si>
  <si>
    <t>Итоговая оценка за разговора</t>
  </si>
  <si>
    <t>Дата звонка:</t>
  </si>
  <si>
    <t>https://amanat.bitrix24.kz/crm/deal/details/472284/</t>
  </si>
  <si>
    <t>https://amanat.bitrix24.kz/crm/deal/details/472828/</t>
  </si>
  <si>
    <t>https://amanat.bitrix24.kz/crm/deal/details/473176/</t>
  </si>
  <si>
    <t>нет</t>
  </si>
  <si>
    <t>Время разговора с клиентом (не больше 5 минут)</t>
  </si>
  <si>
    <t>утп не озвучены</t>
  </si>
  <si>
    <t>Проделал несколько попыток в разговоре закрыть на встречу?</t>
  </si>
  <si>
    <t>Подвел итог разговора для клиента</t>
  </si>
  <si>
    <r>
      <rPr>
        <rFont val="Montserrat"/>
        <b/>
        <color theme="1"/>
        <sz val="9.0"/>
      </rPr>
      <t xml:space="preserve">Отработка возражений </t>
    </r>
    <r>
      <rPr>
        <rFont val="Montserrat"/>
        <b val="0"/>
        <color theme="1"/>
        <sz val="9.0"/>
      </rPr>
      <t>(если их не было, ставится полный бал)</t>
    </r>
  </si>
  <si>
    <t>Признал значимость возражения («Понимаю, действительно вопрос цены важен»)?</t>
  </si>
  <si>
    <t>Софт скилы</t>
  </si>
  <si>
    <t>Отсутствие жаргона и профессионального сленга, тавтологии, слов-паразитов? Менеджер говорил уверенно и профессионально?</t>
  </si>
  <si>
    <t>просрочена</t>
  </si>
  <si>
    <t>https://amanat.bitrix24.kz/crm/deal/details/455972/</t>
  </si>
  <si>
    <t>https://amanat.bitrix24.kz/crm/deal/details/455010/?any=details%2F455010%2F</t>
  </si>
  <si>
    <t>https://amanat.bitrix24.kz/crm/deal/details/456668/?any=details%2F456668%2F</t>
  </si>
  <si>
    <t>https://amanat.bitrix24.kz/crm/deal/details/444226/</t>
  </si>
  <si>
    <t>https://amanat.bitrix24.kz/crm/deal/details/457624/?any=details%2F457624%2F</t>
  </si>
  <si>
    <t>https://amanat.bitrix24.kz/crm/deal/details/457156/?any=details%2F457156%2F</t>
  </si>
  <si>
    <t>https://amanat.bitrix24.kz/crm/deal/details/459326/</t>
  </si>
  <si>
    <t>https://amanat.bitrix24.kz/crm/deal/details/458448/</t>
  </si>
  <si>
    <t>https://amanat.bitrix24.kz/crm/deal/details/458910/</t>
  </si>
  <si>
    <t>https://amanat.bitrix24.kz/crm/deal/details/456460/</t>
  </si>
  <si>
    <t>https://amanat.bitrix24.kz/crm/deal/details/447342/</t>
  </si>
  <si>
    <t>https://amanat.bitrix24.kz/crm/deal/details/454326/</t>
  </si>
  <si>
    <t>https://amanat.bitrix24.kz/crm/deal/details/457674/?any=details%2F457674%2F</t>
  </si>
  <si>
    <t>https://amanat.bitrix24.kz/crm/deal/details/457738/</t>
  </si>
  <si>
    <t>https://amanat.bitrix24.kz/crm/deal/details/456790/</t>
  </si>
  <si>
    <t>https://amanat.bitrix24.kz/crm/deal/details/448096/?any=details%2F448096%2F</t>
  </si>
  <si>
    <t>https://amanat.bitrix24.kz/crm/deal/details/460232/?any=details%2F460232%2F</t>
  </si>
  <si>
    <t>https://amanat.bitrix24.kz/crm/deal/details/456642/?any=details%2F456642%2F</t>
  </si>
  <si>
    <t>https://amanat.bitrix24.kz/crm/deal/details/459206/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</si>
</sst>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d\.mm\.yyyy"/>
    <numFmt numFmtId="166" formatCode="dd.mm"/>
  </numFmts>
  <fonts count="20">
    <font>
      <sz val="10.0"/>
      <color rgb="FF000000"/>
      <name val="Arial"/>
      <scheme val="minor"/>
    </font>
    <font>
      <b/>
      <sz val="8.0"/>
      <color theme="1"/>
      <name val="Montserrat"/>
    </font>
    <font/>
    <font>
      <sz val="8.0"/>
      <color theme="1"/>
      <name val="Montserrat"/>
    </font>
    <font>
      <color theme="1"/>
      <name val="Montserrat"/>
    </font>
    <font>
      <sz val="9.0"/>
      <color theme="1"/>
      <name val="Montserrat"/>
    </font>
    <font>
      <b/>
      <color theme="1"/>
      <name val="Montserrat"/>
    </font>
    <font>
      <sz val="9.0"/>
      <color rgb="FF000000"/>
      <name val="Montserrat"/>
    </font>
    <font>
      <color rgb="FF1155CC"/>
      <name val="Montserrat"/>
    </font>
    <font>
      <b/>
      <sz val="7.0"/>
      <color theme="1"/>
      <name val="Montserrat"/>
    </font>
    <font>
      <b/>
      <sz val="9.0"/>
      <color theme="1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color theme="1"/>
      <name val="Arial"/>
    </font>
    <font>
      <color theme="1"/>
      <name val="Arial"/>
    </font>
    <font>
      <u/>
      <color rgb="FF1155CC"/>
      <name val="Montserrat"/>
    </font>
    <font>
      <u/>
      <color rgb="FF1155CC"/>
      <name val="Montserrat"/>
    </font>
    <font>
      <u/>
      <color rgb="FF1155CC"/>
      <name val="Montserrat"/>
    </font>
    <font>
      <u/>
      <color rgb="FF1155CC"/>
      <name val="Montserrat"/>
    </font>
    <font>
      <sz val="11.0"/>
      <color theme="1"/>
      <name val="Montserrat"/>
    </font>
  </fonts>
  <fills count="15">
    <fill>
      <patternFill patternType="none"/>
    </fill>
    <fill>
      <patternFill patternType="lightGray"/>
    </fill>
    <fill>
      <patternFill patternType="solid">
        <fgColor rgb="FFFEF711"/>
        <bgColor rgb="FFFEF711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4" numFmtId="164" xfId="0" applyAlignment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3" fontId="6" numFmtId="165" xfId="0" applyAlignment="1" applyBorder="1" applyFill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1" fillId="0" fontId="5" numFmtId="4" xfId="0" applyAlignment="1" applyBorder="1" applyFont="1" applyNumberFormat="1">
      <alignment horizontal="center" shrinkToFit="0" vertical="center" wrapText="1"/>
    </xf>
    <xf borderId="3" fillId="3" fontId="4" numFmtId="20" xfId="0" applyAlignment="1" applyBorder="1" applyFont="1" applyNumberFormat="1">
      <alignment horizontal="center" shrinkToFit="0" vertical="center" wrapText="1"/>
    </xf>
    <xf borderId="0" fillId="0" fontId="4" numFmtId="20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" fillId="3" fontId="8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3" fontId="9" numFmtId="2" xfId="0" applyAlignment="1" applyBorder="1" applyFont="1" applyNumberFormat="1">
      <alignment horizontal="center" shrinkToFit="0" vertical="center" wrapText="1"/>
    </xf>
    <xf borderId="6" fillId="3" fontId="10" numFmtId="164" xfId="0" applyAlignment="1" applyBorder="1" applyFont="1" applyNumberFormat="1">
      <alignment horizontal="center" shrinkToFit="0" vertical="center" wrapText="1"/>
    </xf>
    <xf borderId="7" fillId="3" fontId="1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9" fillId="4" fontId="10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12" numFmtId="2" xfId="0" applyAlignment="1" applyBorder="1" applyFont="1" applyNumberFormat="1">
      <alignment horizontal="center" shrinkToFit="0" vertical="center" wrapText="1"/>
    </xf>
    <xf borderId="8" fillId="0" fontId="3" numFmtId="2" xfId="0" applyAlignment="1" applyBorder="1" applyFont="1" applyNumberFormat="1">
      <alignment horizontal="center" shrinkToFit="0" vertical="center" wrapText="1"/>
    </xf>
    <xf borderId="10" fillId="3" fontId="4" numFmtId="1" xfId="0" applyAlignment="1" applyBorder="1" applyFont="1" applyNumberFormat="1">
      <alignment horizontal="center" shrinkToFit="0" vertical="center" wrapText="1"/>
    </xf>
    <xf borderId="8" fillId="0" fontId="4" numFmtId="2" xfId="0" applyAlignment="1" applyBorder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  <xf borderId="11" fillId="0" fontId="2" numFmtId="0" xfId="0" applyBorder="1" applyFont="1"/>
    <xf borderId="8" fillId="0" fontId="3" numFmtId="2" xfId="0" applyAlignment="1" applyBorder="1" applyFont="1" applyNumberFormat="1">
      <alignment horizontal="center" readingOrder="0" shrinkToFit="0" vertical="center" wrapText="1"/>
    </xf>
    <xf borderId="12" fillId="0" fontId="2" numFmtId="0" xfId="0" applyBorder="1" applyFont="1"/>
    <xf borderId="9" fillId="5" fontId="10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5" fontId="12" numFmtId="2" xfId="0" applyAlignment="1" applyBorder="1" applyFont="1" applyNumberFormat="1">
      <alignment horizontal="center" shrinkToFit="0" vertical="center" wrapText="1"/>
    </xf>
    <xf borderId="13" fillId="3" fontId="4" numFmtId="1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8" fillId="0" fontId="4" numFmtId="20" xfId="0" applyAlignment="1" applyBorder="1" applyFont="1" applyNumberFormat="1">
      <alignment horizontal="center" shrinkToFit="0" vertical="center" wrapText="1"/>
    </xf>
    <xf borderId="14" fillId="6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6" fontId="12" numFmtId="2" xfId="0" applyAlignment="1" applyBorder="1" applyFont="1" applyNumberFormat="1">
      <alignment horizontal="center" shrinkToFit="0" vertical="center" wrapText="1"/>
    </xf>
    <xf borderId="9" fillId="7" fontId="10" numFmtId="0" xfId="0" applyAlignment="1" applyBorder="1" applyFill="1" applyFont="1">
      <alignment horizontal="center" shrinkToFit="0" vertical="center" wrapText="1"/>
    </xf>
    <xf borderId="5" fillId="7" fontId="11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readingOrder="0" shrinkToFit="0" vertical="center" wrapText="1"/>
    </xf>
    <xf borderId="5" fillId="7" fontId="12" numFmtId="2" xfId="0" applyAlignment="1" applyBorder="1" applyFont="1" applyNumberForma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14" fillId="8" fontId="10" numFmtId="0" xfId="0" applyAlignment="1" applyBorder="1" applyFill="1" applyFont="1">
      <alignment horizontal="center" shrinkToFit="0" vertical="center" wrapText="1"/>
    </xf>
    <xf borderId="5" fillId="8" fontId="11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8" fontId="12" numFmtId="2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5" fillId="8" fontId="11" numFmtId="0" xfId="0" applyAlignment="1" applyBorder="1" applyFont="1">
      <alignment horizontal="center" readingOrder="0" shrinkToFit="0" vertical="center" wrapText="1"/>
    </xf>
    <xf borderId="9" fillId="9" fontId="10" numFmtId="0" xfId="0" applyAlignment="1" applyBorder="1" applyFill="1" applyFont="1">
      <alignment horizontal="center" shrinkToFit="0" vertical="center" wrapText="1"/>
    </xf>
    <xf borderId="5" fillId="9" fontId="11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9" fontId="12" numFmtId="2" xfId="0" applyAlignment="1" applyBorder="1" applyFont="1" applyNumberFormat="1">
      <alignment horizontal="center" shrinkToFit="0" vertical="center" wrapText="1"/>
    </xf>
    <xf borderId="15" fillId="0" fontId="3" numFmtId="2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3" fillId="10" fontId="6" numFmtId="164" xfId="0" applyAlignment="1" applyBorder="1" applyFill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3" fillId="3" fontId="15" numFmtId="164" xfId="0" applyAlignment="1" applyBorder="1" applyFont="1" applyNumberFormat="1">
      <alignment horizontal="center" shrinkToFit="0" vertical="center" wrapText="1"/>
    </xf>
    <xf borderId="8" fillId="11" fontId="4" numFmtId="2" xfId="0" applyAlignment="1" applyBorder="1" applyFill="1" applyFont="1" applyNumberFormat="1">
      <alignment horizontal="center" shrinkToFit="0" vertical="center" wrapText="1"/>
    </xf>
    <xf borderId="16" fillId="12" fontId="10" numFmtId="0" xfId="0" applyAlignment="1" applyBorder="1" applyFill="1" applyFont="1">
      <alignment horizontal="center" shrinkToFit="0" vertical="center" wrapText="1"/>
    </xf>
    <xf borderId="5" fillId="12" fontId="11" numFmtId="0" xfId="0" applyAlignment="1" applyBorder="1" applyFont="1">
      <alignment horizontal="center" shrinkToFit="0" vertical="center" wrapText="1"/>
    </xf>
    <xf borderId="5" fillId="12" fontId="5" numFmtId="0" xfId="0" applyAlignment="1" applyBorder="1" applyFont="1">
      <alignment horizontal="center" shrinkToFit="0" vertical="center" wrapText="1"/>
    </xf>
    <xf borderId="5" fillId="12" fontId="12" numFmtId="2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3" fontId="17" numFmtId="0" xfId="0" applyAlignment="1" applyBorder="1" applyFont="1">
      <alignment horizontal="center" shrinkToFit="0" vertical="center" wrapText="1"/>
    </xf>
    <xf borderId="5" fillId="13" fontId="18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14" fontId="8" numFmtId="0" xfId="0" applyAlignment="1" applyBorder="1" applyFill="1" applyFont="1">
      <alignment horizontal="center" shrinkToFit="0" vertical="center" wrapText="1"/>
    </xf>
    <xf borderId="5" fillId="3" fontId="19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РЕЕСТР ФЕВРАЛЬ-style">
      <tableStyleElement dxfId="1" type="firstRowStripe"/>
      <tableStyleElement dxfId="2" type="secondRowStripe"/>
    </tableStyle>
    <tableStyle count="2" pivot="0" name="РЕЕСТР ФЕВРАЛЬ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0:A16" displayName="Table_1" name="Table_1" id="1">
  <tableColumns count="1">
    <tableColumn name="Column1" id="1"/>
  </tableColumns>
  <tableStyleInfo name="РЕЕСТР ФЕВРАЛЬ-style" showColumnStripes="0" showFirstColumn="1" showLastColumn="1" showRowStripes="1"/>
</table>
</file>

<file path=xl/tables/table2.xml><?xml version="1.0" encoding="utf-8"?>
<table xmlns="http://schemas.openxmlformats.org/spreadsheetml/2006/main" headerRowCount="0" ref="A17:A19" displayName="Table_2" name="Table_2" id="2">
  <tableColumns count="1">
    <tableColumn name="Column1" id="1"/>
  </tableColumns>
  <tableStyleInfo name="РЕЕСТР ФЕВРАЛЬ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manat.bitrix24.kz/crm/deal/details/472284/" TargetMode="External"/><Relationship Id="rId2" Type="http://schemas.openxmlformats.org/officeDocument/2006/relationships/hyperlink" Target="https://amanat.bitrix24.kz/crm/deal/details/472828/" TargetMode="External"/><Relationship Id="rId3" Type="http://schemas.openxmlformats.org/officeDocument/2006/relationships/hyperlink" Target="https://amanat.bitrix24.kz/crm/deal/details/473176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amanat.bitrix24.kz/crm/deal/details/447342/" TargetMode="External"/><Relationship Id="rId10" Type="http://schemas.openxmlformats.org/officeDocument/2006/relationships/hyperlink" Target="https://amanat.bitrix24.kz/crm/deal/details/456460/" TargetMode="External"/><Relationship Id="rId13" Type="http://schemas.openxmlformats.org/officeDocument/2006/relationships/hyperlink" Target="https://amanat.bitrix24.kz/crm/deal/details/457674/?any=details%2F457674%2F" TargetMode="External"/><Relationship Id="rId24" Type="http://schemas.openxmlformats.org/officeDocument/2006/relationships/table" Target="../tables/table2.xml"/><Relationship Id="rId12" Type="http://schemas.openxmlformats.org/officeDocument/2006/relationships/hyperlink" Target="https://amanat.bitrix24.kz/crm/deal/details/454326/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amanat.bitrix24.kz/crm/deal/details/455972/" TargetMode="External"/><Relationship Id="rId2" Type="http://schemas.openxmlformats.org/officeDocument/2006/relationships/hyperlink" Target="https://amanat.bitrix24.kz/crm/deal/details/455010/?any=details%2F455010%2F" TargetMode="External"/><Relationship Id="rId3" Type="http://schemas.openxmlformats.org/officeDocument/2006/relationships/hyperlink" Target="https://amanat.bitrix24.kz/crm/deal/details/456668/?any=details%2F456668%2F" TargetMode="External"/><Relationship Id="rId4" Type="http://schemas.openxmlformats.org/officeDocument/2006/relationships/hyperlink" Target="https://amanat.bitrix24.kz/crm/deal/details/444226/" TargetMode="External"/><Relationship Id="rId9" Type="http://schemas.openxmlformats.org/officeDocument/2006/relationships/hyperlink" Target="https://amanat.bitrix24.kz/crm/deal/details/458910/" TargetMode="External"/><Relationship Id="rId15" Type="http://schemas.openxmlformats.org/officeDocument/2006/relationships/hyperlink" Target="https://amanat.bitrix24.kz/crm/deal/details/456790/" TargetMode="External"/><Relationship Id="rId14" Type="http://schemas.openxmlformats.org/officeDocument/2006/relationships/hyperlink" Target="https://amanat.bitrix24.kz/crm/deal/details/457738/" TargetMode="External"/><Relationship Id="rId17" Type="http://schemas.openxmlformats.org/officeDocument/2006/relationships/hyperlink" Target="https://amanat.bitrix24.kz/crm/deal/details/460232/?any=details%2F460232%2F" TargetMode="External"/><Relationship Id="rId16" Type="http://schemas.openxmlformats.org/officeDocument/2006/relationships/hyperlink" Target="https://amanat.bitrix24.kz/crm/deal/details/448096/?any=details%2F448096%2F" TargetMode="External"/><Relationship Id="rId5" Type="http://schemas.openxmlformats.org/officeDocument/2006/relationships/hyperlink" Target="https://amanat.bitrix24.kz/crm/deal/details/457624/?any=details%2F457624%2F" TargetMode="External"/><Relationship Id="rId19" Type="http://schemas.openxmlformats.org/officeDocument/2006/relationships/hyperlink" Target="https://amanat.bitrix24.kz/crm/deal/details/459206/" TargetMode="External"/><Relationship Id="rId6" Type="http://schemas.openxmlformats.org/officeDocument/2006/relationships/hyperlink" Target="https://amanat.bitrix24.kz/crm/deal/details/457156/?any=details%2F457156%2F" TargetMode="External"/><Relationship Id="rId18" Type="http://schemas.openxmlformats.org/officeDocument/2006/relationships/hyperlink" Target="https://amanat.bitrix24.kz/crm/deal/details/456642/?any=details%2F456642%2F" TargetMode="External"/><Relationship Id="rId7" Type="http://schemas.openxmlformats.org/officeDocument/2006/relationships/hyperlink" Target="https://amanat.bitrix24.kz/crm/deal/details/459326/" TargetMode="External"/><Relationship Id="rId8" Type="http://schemas.openxmlformats.org/officeDocument/2006/relationships/hyperlink" Target="https://amanat.bitrix24.kz/crm/deal/details/4584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2.0"/>
    <col customWidth="1" min="2" max="2" width="2.5"/>
    <col customWidth="1" min="3" max="3" width="33.63"/>
    <col customWidth="1" min="4" max="4" width="4.5"/>
    <col customWidth="1" min="5" max="5" width="8.25"/>
    <col customWidth="1" min="6" max="6" width="6.63"/>
    <col customWidth="1" min="7" max="39" width="16.38"/>
  </cols>
  <sheetData>
    <row r="1" ht="16.5" customHeight="1">
      <c r="A1" s="1" t="s">
        <v>0</v>
      </c>
      <c r="B1" s="2"/>
      <c r="C1" s="3" t="s">
        <v>1</v>
      </c>
      <c r="D1" s="2"/>
      <c r="E1" s="4" t="s">
        <v>2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ht="20.25" customHeight="1">
      <c r="A2" s="8" t="s">
        <v>3</v>
      </c>
      <c r="B2" s="5"/>
      <c r="C2" s="5"/>
      <c r="D2" s="2"/>
      <c r="E2" s="9"/>
      <c r="F2" s="5"/>
      <c r="G2" s="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ht="20.25" customHeight="1">
      <c r="A3" s="11" t="s">
        <v>4</v>
      </c>
      <c r="B3" s="5"/>
      <c r="C3" s="5"/>
      <c r="D3" s="2"/>
      <c r="E3" s="12"/>
      <c r="F3" s="5"/>
      <c r="G3" s="6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ht="27.75" customHeight="1">
      <c r="A4" s="14" t="s">
        <v>5</v>
      </c>
      <c r="B4" s="5"/>
      <c r="C4" s="5"/>
      <c r="D4" s="2"/>
      <c r="E4" s="15"/>
      <c r="F4" s="5"/>
      <c r="G4" s="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ht="24.0" customHeight="1">
      <c r="A5" s="17" t="s">
        <v>6</v>
      </c>
      <c r="B5" s="17" t="s">
        <v>7</v>
      </c>
      <c r="C5" s="17" t="s">
        <v>8</v>
      </c>
      <c r="D5" s="18" t="s">
        <v>9</v>
      </c>
      <c r="E5" s="19" t="s">
        <v>10</v>
      </c>
      <c r="F5" s="20" t="s">
        <v>11</v>
      </c>
      <c r="G5" s="21" t="s">
        <v>12</v>
      </c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ht="34.5" customHeight="1">
      <c r="A6" s="24" t="s">
        <v>13</v>
      </c>
      <c r="B6" s="25">
        <v>1.0</v>
      </c>
      <c r="C6" s="26" t="s">
        <v>14</v>
      </c>
      <c r="D6" s="27" t="s">
        <v>15</v>
      </c>
      <c r="E6" s="28" t="s">
        <v>16</v>
      </c>
      <c r="F6" s="29">
        <f t="shared" ref="F6:F7" si="1">IF(E6="да",1,0)</f>
        <v>1</v>
      </c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</row>
    <row r="7" ht="29.25" customHeight="1">
      <c r="A7" s="32"/>
      <c r="B7" s="25">
        <v>2.0</v>
      </c>
      <c r="C7" s="26" t="s">
        <v>17</v>
      </c>
      <c r="D7" s="27" t="s">
        <v>15</v>
      </c>
      <c r="E7" s="33" t="s">
        <v>16</v>
      </c>
      <c r="F7" s="29">
        <f t="shared" si="1"/>
        <v>1</v>
      </c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</row>
    <row r="8" ht="29.25" customHeight="1">
      <c r="A8" s="34"/>
      <c r="B8" s="25">
        <v>3.0</v>
      </c>
      <c r="C8" s="26" t="s">
        <v>18</v>
      </c>
      <c r="D8" s="27" t="s">
        <v>19</v>
      </c>
      <c r="E8" s="28" t="s">
        <v>16</v>
      </c>
      <c r="F8" s="29">
        <f>IF(E8="да",3,0)</f>
        <v>3</v>
      </c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ht="30.75" customHeight="1">
      <c r="A9" s="35" t="s">
        <v>20</v>
      </c>
      <c r="B9" s="36">
        <v>4.0</v>
      </c>
      <c r="C9" s="37" t="s">
        <v>21</v>
      </c>
      <c r="D9" s="38" t="s">
        <v>22</v>
      </c>
      <c r="E9" s="28" t="s">
        <v>16</v>
      </c>
      <c r="F9" s="39">
        <f t="shared" ref="F9:F10" si="2">IF(E9="да",4,0)</f>
        <v>4</v>
      </c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</row>
    <row r="10" ht="27.0" customHeight="1">
      <c r="A10" s="32"/>
      <c r="B10" s="36">
        <v>5.0</v>
      </c>
      <c r="C10" s="37" t="s">
        <v>23</v>
      </c>
      <c r="D10" s="38" t="s">
        <v>22</v>
      </c>
      <c r="E10" s="33" t="s">
        <v>16</v>
      </c>
      <c r="F10" s="39">
        <f t="shared" si="2"/>
        <v>4</v>
      </c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</row>
    <row r="11" ht="38.25" customHeight="1">
      <c r="A11" s="32"/>
      <c r="B11" s="36">
        <v>6.0</v>
      </c>
      <c r="C11" s="37" t="s">
        <v>24</v>
      </c>
      <c r="D11" s="38" t="s">
        <v>25</v>
      </c>
      <c r="E11" s="33" t="s">
        <v>16</v>
      </c>
      <c r="F11" s="39">
        <f>IF(E11="да",5,0)</f>
        <v>5</v>
      </c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ht="36.0" customHeight="1">
      <c r="A12" s="34"/>
      <c r="B12" s="36">
        <v>7.0</v>
      </c>
      <c r="C12" s="40" t="s">
        <v>26</v>
      </c>
      <c r="D12" s="38" t="s">
        <v>22</v>
      </c>
      <c r="E12" s="28" t="s">
        <v>16</v>
      </c>
      <c r="F12" s="39">
        <f>IF(E12="да",4,0)</f>
        <v>4</v>
      </c>
      <c r="G12" s="4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</row>
    <row r="13" ht="39.0" customHeight="1">
      <c r="A13" s="42" t="s">
        <v>27</v>
      </c>
      <c r="B13" s="43">
        <v>8.0</v>
      </c>
      <c r="C13" s="44" t="s">
        <v>28</v>
      </c>
      <c r="D13" s="45" t="s">
        <v>25</v>
      </c>
      <c r="E13" s="33" t="s">
        <v>16</v>
      </c>
      <c r="F13" s="39">
        <f>IF(E13="да",5,0)</f>
        <v>5</v>
      </c>
      <c r="G13" s="28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</row>
    <row r="14" ht="39.0" customHeight="1">
      <c r="A14" s="32"/>
      <c r="B14" s="43">
        <v>9.0</v>
      </c>
      <c r="C14" s="44" t="s">
        <v>29</v>
      </c>
      <c r="D14" s="45" t="s">
        <v>30</v>
      </c>
      <c r="E14" s="33" t="s">
        <v>16</v>
      </c>
      <c r="F14" s="39">
        <f>IF(E14="да",6,0)</f>
        <v>6</v>
      </c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</row>
    <row r="15" ht="38.25" customHeight="1">
      <c r="A15" s="46" t="s">
        <v>31</v>
      </c>
      <c r="B15" s="47">
        <v>10.0</v>
      </c>
      <c r="C15" s="48" t="s">
        <v>32</v>
      </c>
      <c r="D15" s="49" t="s">
        <v>33</v>
      </c>
      <c r="E15" s="28" t="s">
        <v>16</v>
      </c>
      <c r="F15" s="39">
        <f>IF(E15="да",15,0)</f>
        <v>15</v>
      </c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</row>
    <row r="16" ht="48.0" customHeight="1">
      <c r="A16" s="32"/>
      <c r="B16" s="47">
        <v>11.0</v>
      </c>
      <c r="C16" s="48" t="s">
        <v>34</v>
      </c>
      <c r="D16" s="49" t="s">
        <v>25</v>
      </c>
      <c r="E16" s="33" t="s">
        <v>16</v>
      </c>
      <c r="F16" s="39">
        <f t="shared" ref="F16:F17" si="3">IF(E16="да",5,0)</f>
        <v>5</v>
      </c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</row>
    <row r="17" ht="31.5" customHeight="1">
      <c r="A17" s="32"/>
      <c r="B17" s="47">
        <v>12.0</v>
      </c>
      <c r="C17" s="50" t="s">
        <v>35</v>
      </c>
      <c r="D17" s="49" t="s">
        <v>25</v>
      </c>
      <c r="E17" s="33" t="s">
        <v>16</v>
      </c>
      <c r="F17" s="39">
        <f t="shared" si="3"/>
        <v>5</v>
      </c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</row>
    <row r="18" ht="39.0" customHeight="1">
      <c r="A18" s="34"/>
      <c r="B18" s="47">
        <v>13.0</v>
      </c>
      <c r="C18" s="50" t="s">
        <v>36</v>
      </c>
      <c r="D18" s="49" t="s">
        <v>37</v>
      </c>
      <c r="E18" s="28" t="s">
        <v>16</v>
      </c>
      <c r="F18" s="39">
        <f>IF(E18="да",2,0)</f>
        <v>2</v>
      </c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</row>
    <row r="19" ht="29.25" customHeight="1">
      <c r="A19" s="51" t="s">
        <v>38</v>
      </c>
      <c r="B19" s="52">
        <v>14.0</v>
      </c>
      <c r="C19" s="53" t="s">
        <v>39</v>
      </c>
      <c r="D19" s="54" t="s">
        <v>22</v>
      </c>
      <c r="E19" s="28" t="s">
        <v>16</v>
      </c>
      <c r="F19" s="39">
        <f t="shared" ref="F19:F21" si="4">IF(E19="да",4,0)</f>
        <v>4</v>
      </c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</row>
    <row r="20" ht="34.5" customHeight="1">
      <c r="A20" s="32"/>
      <c r="B20" s="52">
        <v>15.0</v>
      </c>
      <c r="C20" s="55" t="s">
        <v>40</v>
      </c>
      <c r="D20" s="54" t="s">
        <v>22</v>
      </c>
      <c r="E20" s="28" t="s">
        <v>16</v>
      </c>
      <c r="F20" s="39">
        <f t="shared" si="4"/>
        <v>4</v>
      </c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</row>
    <row r="21" ht="51.75" customHeight="1">
      <c r="A21" s="32"/>
      <c r="B21" s="52">
        <v>16.0</v>
      </c>
      <c r="C21" s="53" t="s">
        <v>41</v>
      </c>
      <c r="D21" s="54" t="s">
        <v>22</v>
      </c>
      <c r="E21" s="28" t="s">
        <v>16</v>
      </c>
      <c r="F21" s="39">
        <f t="shared" si="4"/>
        <v>4</v>
      </c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</row>
    <row r="22" ht="42.75" customHeight="1">
      <c r="A22" s="32"/>
      <c r="B22" s="52">
        <v>17.0</v>
      </c>
      <c r="C22" s="55" t="s">
        <v>42</v>
      </c>
      <c r="D22" s="54" t="s">
        <v>25</v>
      </c>
      <c r="E22" s="33" t="s">
        <v>16</v>
      </c>
      <c r="F22" s="39">
        <f>IF(E22="да",5,0)</f>
        <v>5</v>
      </c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</row>
    <row r="23" ht="42.75" customHeight="1">
      <c r="A23" s="34"/>
      <c r="B23" s="56">
        <v>18.0</v>
      </c>
      <c r="C23" s="53" t="s">
        <v>43</v>
      </c>
      <c r="D23" s="54" t="s">
        <v>22</v>
      </c>
      <c r="E23" s="28" t="s">
        <v>16</v>
      </c>
      <c r="F23" s="39">
        <f>IF(E23="да",4,0)</f>
        <v>4</v>
      </c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</row>
    <row r="24" ht="30.0" customHeight="1">
      <c r="A24" s="57" t="s">
        <v>44</v>
      </c>
      <c r="B24" s="58">
        <v>19.0</v>
      </c>
      <c r="C24" s="59" t="s">
        <v>45</v>
      </c>
      <c r="D24" s="60" t="s">
        <v>37</v>
      </c>
      <c r="E24" s="28" t="s">
        <v>16</v>
      </c>
      <c r="F24" s="39">
        <f>IF(E24="да",2,0)</f>
        <v>2</v>
      </c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</row>
    <row r="25" ht="41.25" customHeight="1">
      <c r="A25" s="32"/>
      <c r="B25" s="58">
        <v>20.0</v>
      </c>
      <c r="C25" s="59" t="s">
        <v>46</v>
      </c>
      <c r="D25" s="60" t="s">
        <v>25</v>
      </c>
      <c r="E25" s="33" t="s">
        <v>16</v>
      </c>
      <c r="F25" s="39">
        <f>IF(E25="да",5,0)</f>
        <v>5</v>
      </c>
      <c r="G25" s="28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 ht="41.25" customHeight="1">
      <c r="A26" s="32"/>
      <c r="B26" s="58">
        <v>21.0</v>
      </c>
      <c r="C26" s="59" t="s">
        <v>47</v>
      </c>
      <c r="D26" s="60" t="s">
        <v>48</v>
      </c>
      <c r="E26" s="61" t="s">
        <v>16</v>
      </c>
      <c r="F26" s="39">
        <f>IF(E26="да",12,0)</f>
        <v>12</v>
      </c>
      <c r="G26" s="28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 ht="38.25" customHeight="1">
      <c r="A27" s="62" t="s">
        <v>49</v>
      </c>
      <c r="B27" s="5"/>
      <c r="C27" s="5"/>
      <c r="D27" s="2"/>
      <c r="E27" s="63">
        <f>SUM(F6:F26)</f>
        <v>100</v>
      </c>
      <c r="F27" s="5"/>
      <c r="G27" s="6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</row>
    <row r="28" ht="33.75" customHeight="1">
      <c r="A28" s="65"/>
      <c r="B28" s="65"/>
      <c r="C28" s="66" t="s">
        <v>50</v>
      </c>
      <c r="D28" s="65"/>
      <c r="E28" s="66"/>
      <c r="F28" s="67"/>
      <c r="G28" s="68">
        <v>46083.0</v>
      </c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ht="15.75" customHeight="1">
      <c r="A29" s="69"/>
      <c r="B29" s="69"/>
      <c r="C29" s="69"/>
      <c r="D29" s="69"/>
      <c r="E29" s="70"/>
      <c r="F29" s="71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</row>
  </sheetData>
  <mergeCells count="17">
    <mergeCell ref="A4:D4"/>
    <mergeCell ref="E4:G4"/>
    <mergeCell ref="A6:A8"/>
    <mergeCell ref="A13:A14"/>
    <mergeCell ref="A15:A18"/>
    <mergeCell ref="A24:A26"/>
    <mergeCell ref="A27:D27"/>
    <mergeCell ref="A9:A12"/>
    <mergeCell ref="A19:A23"/>
    <mergeCell ref="E27:G27"/>
    <mergeCell ref="A1:B1"/>
    <mergeCell ref="C1:D1"/>
    <mergeCell ref="E1:G1"/>
    <mergeCell ref="A2:D2"/>
    <mergeCell ref="E2:G2"/>
    <mergeCell ref="A3:D3"/>
    <mergeCell ref="E3:G3"/>
  </mergeCells>
  <conditionalFormatting sqref="E27:AM27">
    <cfRule type="colorScale" priority="1">
      <colorScale>
        <cfvo type="min"/>
        <cfvo type="formula" val="85"/>
        <cfvo type="formula" val="100"/>
        <color rgb="FFFF0000"/>
        <color rgb="FFFFFF00"/>
        <color rgb="FF93C47D"/>
      </colorScale>
    </cfRule>
  </conditionalFormatting>
  <dataValidations>
    <dataValidation type="list" allowBlank="1" showErrorMessage="1" sqref="E6:E26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2.0"/>
    <col customWidth="1" min="2" max="2" width="2.5"/>
    <col customWidth="1" min="3" max="3" width="33.63"/>
    <col customWidth="1" min="4" max="4" width="4.5"/>
    <col customWidth="1" hidden="1" min="5" max="5" width="8.25"/>
    <col customWidth="1" hidden="1" min="6" max="6" width="6.63"/>
    <col customWidth="1" hidden="1" min="7" max="7" width="16.38"/>
    <col customWidth="1" hidden="1" min="8" max="8" width="8.25"/>
    <col customWidth="1" hidden="1" min="9" max="9" width="6.63"/>
    <col customWidth="1" hidden="1" min="10" max="10" width="16.38"/>
    <col customWidth="1" hidden="1" min="11" max="11" width="8.25"/>
    <col customWidth="1" hidden="1" min="12" max="12" width="6.63"/>
    <col customWidth="1" hidden="1" min="13" max="13" width="16.38"/>
  </cols>
  <sheetData>
    <row r="1" ht="16.5" customHeight="1">
      <c r="A1" s="1" t="s">
        <v>0</v>
      </c>
      <c r="B1" s="2"/>
      <c r="C1" s="3" t="s">
        <v>1</v>
      </c>
      <c r="D1" s="2"/>
      <c r="E1" s="4" t="s">
        <v>2</v>
      </c>
      <c r="F1" s="5"/>
      <c r="G1" s="6"/>
      <c r="H1" s="4" t="s">
        <v>2</v>
      </c>
      <c r="I1" s="5"/>
      <c r="J1" s="6"/>
      <c r="K1" s="4" t="s">
        <v>2</v>
      </c>
      <c r="L1" s="5"/>
      <c r="M1" s="6"/>
    </row>
    <row r="2" ht="20.25" customHeight="1">
      <c r="A2" s="8" t="s">
        <v>3</v>
      </c>
      <c r="B2" s="5"/>
      <c r="C2" s="5"/>
      <c r="D2" s="2"/>
      <c r="E2" s="9">
        <v>46088.0</v>
      </c>
      <c r="F2" s="5"/>
      <c r="G2" s="6"/>
      <c r="H2" s="9">
        <v>46088.0</v>
      </c>
      <c r="I2" s="5"/>
      <c r="J2" s="6"/>
      <c r="K2" s="9">
        <v>46088.0</v>
      </c>
      <c r="L2" s="5"/>
      <c r="M2" s="6"/>
    </row>
    <row r="3" ht="20.25" customHeight="1">
      <c r="A3" s="11" t="s">
        <v>4</v>
      </c>
      <c r="B3" s="5"/>
      <c r="C3" s="5"/>
      <c r="D3" s="2"/>
      <c r="E3" s="12">
        <v>0.11736111111111111</v>
      </c>
      <c r="F3" s="5"/>
      <c r="G3" s="6"/>
      <c r="H3" s="12">
        <v>0.1326388888888889</v>
      </c>
      <c r="I3" s="5"/>
      <c r="J3" s="6"/>
      <c r="K3" s="12">
        <v>0.1125</v>
      </c>
      <c r="L3" s="5"/>
      <c r="M3" s="6"/>
    </row>
    <row r="4" ht="27.75" customHeight="1">
      <c r="A4" s="14" t="s">
        <v>5</v>
      </c>
      <c r="B4" s="5"/>
      <c r="C4" s="5"/>
      <c r="D4" s="2"/>
      <c r="E4" s="72" t="s">
        <v>51</v>
      </c>
      <c r="F4" s="5"/>
      <c r="G4" s="6"/>
      <c r="H4" s="72" t="s">
        <v>52</v>
      </c>
      <c r="I4" s="5"/>
      <c r="J4" s="6"/>
      <c r="K4" s="72" t="s">
        <v>53</v>
      </c>
      <c r="L4" s="5"/>
      <c r="M4" s="6"/>
    </row>
    <row r="5" ht="24.0" customHeight="1">
      <c r="A5" s="17" t="s">
        <v>6</v>
      </c>
      <c r="B5" s="17" t="s">
        <v>7</v>
      </c>
      <c r="C5" s="17" t="s">
        <v>8</v>
      </c>
      <c r="D5" s="18" t="s">
        <v>9</v>
      </c>
      <c r="E5" s="19" t="s">
        <v>10</v>
      </c>
      <c r="F5" s="20" t="s">
        <v>11</v>
      </c>
      <c r="G5" s="21" t="s">
        <v>12</v>
      </c>
      <c r="H5" s="19" t="s">
        <v>10</v>
      </c>
      <c r="I5" s="20" t="s">
        <v>11</v>
      </c>
      <c r="J5" s="21" t="s">
        <v>12</v>
      </c>
      <c r="K5" s="19" t="s">
        <v>10</v>
      </c>
      <c r="L5" s="20" t="s">
        <v>11</v>
      </c>
      <c r="M5" s="21" t="s">
        <v>12</v>
      </c>
    </row>
    <row r="6" ht="34.5" customHeight="1">
      <c r="A6" s="24" t="s">
        <v>13</v>
      </c>
      <c r="B6" s="25">
        <v>1.0</v>
      </c>
      <c r="C6" s="26" t="s">
        <v>14</v>
      </c>
      <c r="D6" s="27" t="s">
        <v>15</v>
      </c>
      <c r="E6" s="28" t="s">
        <v>16</v>
      </c>
      <c r="F6" s="29">
        <f t="shared" ref="F6:F7" si="1">IF(E6="да",1,0)</f>
        <v>1</v>
      </c>
      <c r="G6" s="30"/>
      <c r="H6" s="28" t="s">
        <v>16</v>
      </c>
      <c r="I6" s="29">
        <f t="shared" ref="I6:I7" si="2">IF(H6="да",1,0)</f>
        <v>1</v>
      </c>
      <c r="J6" s="30"/>
      <c r="K6" s="28" t="s">
        <v>16</v>
      </c>
      <c r="L6" s="29">
        <f t="shared" ref="L6:L7" si="3">IF(K6="да",1,0)</f>
        <v>1</v>
      </c>
      <c r="M6" s="30"/>
    </row>
    <row r="7" ht="29.25" customHeight="1">
      <c r="A7" s="32"/>
      <c r="B7" s="25">
        <v>2.0</v>
      </c>
      <c r="C7" s="26" t="s">
        <v>17</v>
      </c>
      <c r="D7" s="27" t="s">
        <v>15</v>
      </c>
      <c r="E7" s="28" t="s">
        <v>16</v>
      </c>
      <c r="F7" s="29">
        <f t="shared" si="1"/>
        <v>1</v>
      </c>
      <c r="G7" s="30"/>
      <c r="H7" s="28" t="s">
        <v>16</v>
      </c>
      <c r="I7" s="29">
        <f t="shared" si="2"/>
        <v>1</v>
      </c>
      <c r="J7" s="30"/>
      <c r="K7" s="28" t="s">
        <v>16</v>
      </c>
      <c r="L7" s="29">
        <f t="shared" si="3"/>
        <v>1</v>
      </c>
      <c r="M7" s="30"/>
    </row>
    <row r="8" ht="29.25" customHeight="1">
      <c r="A8" s="34"/>
      <c r="B8" s="25">
        <v>3.0</v>
      </c>
      <c r="C8" s="26" t="s">
        <v>18</v>
      </c>
      <c r="D8" s="27" t="s">
        <v>19</v>
      </c>
      <c r="E8" s="28" t="s">
        <v>16</v>
      </c>
      <c r="F8" s="29">
        <f>IF(E8="да",3,0)</f>
        <v>3</v>
      </c>
      <c r="G8" s="73"/>
      <c r="H8" s="28" t="s">
        <v>16</v>
      </c>
      <c r="I8" s="29">
        <f>IF(H8="да",3,0)</f>
        <v>3</v>
      </c>
      <c r="J8" s="73"/>
      <c r="K8" s="28" t="s">
        <v>16</v>
      </c>
      <c r="L8" s="29">
        <f>IF(K8="да",3,0)</f>
        <v>3</v>
      </c>
      <c r="M8" s="73"/>
    </row>
    <row r="9" ht="30.75" customHeight="1">
      <c r="A9" s="35" t="s">
        <v>20</v>
      </c>
      <c r="B9" s="36">
        <v>4.0</v>
      </c>
      <c r="C9" s="37" t="s">
        <v>21</v>
      </c>
      <c r="D9" s="38" t="s">
        <v>22</v>
      </c>
      <c r="E9" s="28" t="s">
        <v>16</v>
      </c>
      <c r="F9" s="39">
        <f t="shared" ref="F9:F10" si="4">IF(E9="да",4,0)</f>
        <v>4</v>
      </c>
      <c r="G9" s="30"/>
      <c r="H9" s="28" t="s">
        <v>16</v>
      </c>
      <c r="I9" s="39">
        <f t="shared" ref="I9:I10" si="5">IF(H9="да",4,0)</f>
        <v>4</v>
      </c>
      <c r="J9" s="30"/>
      <c r="K9" s="28" t="s">
        <v>16</v>
      </c>
      <c r="L9" s="39">
        <f t="shared" ref="L9:L10" si="6">IF(K9="да",4,0)</f>
        <v>4</v>
      </c>
      <c r="M9" s="30"/>
    </row>
    <row r="10" ht="27.0" customHeight="1">
      <c r="A10" s="32"/>
      <c r="B10" s="36">
        <v>5.0</v>
      </c>
      <c r="C10" s="37" t="s">
        <v>23</v>
      </c>
      <c r="D10" s="38" t="s">
        <v>22</v>
      </c>
      <c r="E10" s="28" t="s">
        <v>54</v>
      </c>
      <c r="F10" s="39">
        <f t="shared" si="4"/>
        <v>0</v>
      </c>
      <c r="G10" s="30"/>
      <c r="H10" s="28" t="s">
        <v>54</v>
      </c>
      <c r="I10" s="39">
        <f t="shared" si="5"/>
        <v>0</v>
      </c>
      <c r="J10" s="30"/>
      <c r="K10" s="28" t="s">
        <v>16</v>
      </c>
      <c r="L10" s="39">
        <f t="shared" si="6"/>
        <v>4</v>
      </c>
      <c r="M10" s="30"/>
    </row>
    <row r="11" ht="38.25" customHeight="1">
      <c r="A11" s="32"/>
      <c r="B11" s="36">
        <v>6.0</v>
      </c>
      <c r="C11" s="37" t="s">
        <v>24</v>
      </c>
      <c r="D11" s="38" t="s">
        <v>25</v>
      </c>
      <c r="E11" s="28" t="s">
        <v>16</v>
      </c>
      <c r="F11" s="39">
        <f>IF(E11="да",5,0)</f>
        <v>5</v>
      </c>
      <c r="G11" s="30"/>
      <c r="H11" s="28" t="s">
        <v>16</v>
      </c>
      <c r="I11" s="39">
        <f>IF(H11="да",5,0)</f>
        <v>5</v>
      </c>
      <c r="J11" s="30"/>
      <c r="K11" s="28" t="s">
        <v>16</v>
      </c>
      <c r="L11" s="39">
        <f>IF(K11="да",5,0)</f>
        <v>5</v>
      </c>
      <c r="M11" s="30"/>
    </row>
    <row r="12" ht="36.0" customHeight="1">
      <c r="A12" s="34"/>
      <c r="B12" s="36">
        <v>7.0</v>
      </c>
      <c r="C12" s="37" t="s">
        <v>55</v>
      </c>
      <c r="D12" s="38" t="s">
        <v>22</v>
      </c>
      <c r="E12" s="28" t="s">
        <v>16</v>
      </c>
      <c r="F12" s="39">
        <f>IF(E12="да",4,0)</f>
        <v>4</v>
      </c>
      <c r="G12" s="30"/>
      <c r="H12" s="28" t="s">
        <v>16</v>
      </c>
      <c r="I12" s="39">
        <f>IF(H12="да",4,0)</f>
        <v>4</v>
      </c>
      <c r="J12" s="30"/>
      <c r="K12" s="28" t="s">
        <v>16</v>
      </c>
      <c r="L12" s="39">
        <f>IF(K12="да",4,0)</f>
        <v>4</v>
      </c>
      <c r="M12" s="30"/>
    </row>
    <row r="13" ht="39.0" customHeight="1">
      <c r="A13" s="42" t="s">
        <v>27</v>
      </c>
      <c r="B13" s="43">
        <v>8.0</v>
      </c>
      <c r="C13" s="44" t="s">
        <v>28</v>
      </c>
      <c r="D13" s="45" t="s">
        <v>25</v>
      </c>
      <c r="E13" s="28" t="s">
        <v>16</v>
      </c>
      <c r="F13" s="39">
        <f>IF(E13="да",5,0)</f>
        <v>5</v>
      </c>
      <c r="G13" s="30"/>
      <c r="H13" s="28" t="s">
        <v>54</v>
      </c>
      <c r="I13" s="39">
        <f>IF(H13="да",5,0)</f>
        <v>0</v>
      </c>
      <c r="J13" s="28" t="s">
        <v>56</v>
      </c>
      <c r="K13" s="28" t="s">
        <v>16</v>
      </c>
      <c r="L13" s="39">
        <f>IF(K13="да",5,0)</f>
        <v>5</v>
      </c>
      <c r="M13" s="30"/>
    </row>
    <row r="14" ht="39.0" customHeight="1">
      <c r="A14" s="32"/>
      <c r="B14" s="43">
        <v>9.0</v>
      </c>
      <c r="C14" s="44" t="s">
        <v>29</v>
      </c>
      <c r="D14" s="45" t="s">
        <v>30</v>
      </c>
      <c r="E14" s="28" t="s">
        <v>16</v>
      </c>
      <c r="F14" s="39">
        <f>IF(E14="да",6,0)</f>
        <v>6</v>
      </c>
      <c r="G14" s="30"/>
      <c r="H14" s="28" t="s">
        <v>16</v>
      </c>
      <c r="I14" s="39">
        <f>IF(H14="да",6,0)</f>
        <v>6</v>
      </c>
      <c r="J14" s="30"/>
      <c r="K14" s="28" t="s">
        <v>16</v>
      </c>
      <c r="L14" s="39">
        <f>IF(K14="да",6,0)</f>
        <v>6</v>
      </c>
      <c r="M14" s="30"/>
    </row>
    <row r="15" ht="38.25" customHeight="1">
      <c r="A15" s="46" t="s">
        <v>31</v>
      </c>
      <c r="B15" s="47">
        <v>10.0</v>
      </c>
      <c r="C15" s="50" t="s">
        <v>57</v>
      </c>
      <c r="D15" s="49" t="s">
        <v>33</v>
      </c>
      <c r="E15" s="28" t="s">
        <v>16</v>
      </c>
      <c r="F15" s="39">
        <f>IF(E15="да",15,0)</f>
        <v>15</v>
      </c>
      <c r="G15" s="73"/>
      <c r="H15" s="28" t="s">
        <v>16</v>
      </c>
      <c r="I15" s="39">
        <f>IF(H15="да",15,0)</f>
        <v>15</v>
      </c>
      <c r="J15" s="73"/>
      <c r="K15" s="28" t="s">
        <v>16</v>
      </c>
      <c r="L15" s="39">
        <f>IF(K15="да",15,0)</f>
        <v>15</v>
      </c>
      <c r="M15" s="73"/>
    </row>
    <row r="16" ht="22.5" customHeight="1">
      <c r="A16" s="32"/>
      <c r="B16" s="47">
        <v>11.0</v>
      </c>
      <c r="C16" s="50" t="s">
        <v>58</v>
      </c>
      <c r="D16" s="49" t="s">
        <v>25</v>
      </c>
      <c r="E16" s="28" t="s">
        <v>16</v>
      </c>
      <c r="F16" s="39">
        <f t="shared" ref="F16:F17" si="7">IF(E16="да",5,0)</f>
        <v>5</v>
      </c>
      <c r="G16" s="30"/>
      <c r="H16" s="28" t="s">
        <v>54</v>
      </c>
      <c r="I16" s="39">
        <f t="shared" ref="I16:I17" si="8">IF(H16="да",5,0)</f>
        <v>0</v>
      </c>
      <c r="J16" s="30"/>
      <c r="K16" s="28" t="s">
        <v>16</v>
      </c>
      <c r="L16" s="39">
        <f t="shared" ref="L16:L17" si="9">IF(K16="да",5,0)</f>
        <v>5</v>
      </c>
      <c r="M16" s="30"/>
    </row>
    <row r="17" ht="31.5" customHeight="1">
      <c r="A17" s="32"/>
      <c r="B17" s="47">
        <v>12.0</v>
      </c>
      <c r="C17" s="50" t="s">
        <v>35</v>
      </c>
      <c r="D17" s="49" t="s">
        <v>25</v>
      </c>
      <c r="E17" s="28" t="s">
        <v>16</v>
      </c>
      <c r="F17" s="39">
        <f t="shared" si="7"/>
        <v>5</v>
      </c>
      <c r="G17" s="30"/>
      <c r="H17" s="28" t="s">
        <v>16</v>
      </c>
      <c r="I17" s="39">
        <f t="shared" si="8"/>
        <v>5</v>
      </c>
      <c r="J17" s="30"/>
      <c r="K17" s="28" t="s">
        <v>16</v>
      </c>
      <c r="L17" s="39">
        <f t="shared" si="9"/>
        <v>5</v>
      </c>
      <c r="M17" s="30"/>
    </row>
    <row r="18" ht="39.0" customHeight="1">
      <c r="A18" s="34"/>
      <c r="B18" s="47">
        <v>13.0</v>
      </c>
      <c r="C18" s="50" t="s">
        <v>36</v>
      </c>
      <c r="D18" s="49" t="s">
        <v>37</v>
      </c>
      <c r="E18" s="28" t="s">
        <v>16</v>
      </c>
      <c r="F18" s="39">
        <f>IF(E18="да",2,0)</f>
        <v>2</v>
      </c>
      <c r="G18" s="30"/>
      <c r="H18" s="28" t="s">
        <v>16</v>
      </c>
      <c r="I18" s="39">
        <f>IF(H18="да",2,0)</f>
        <v>2</v>
      </c>
      <c r="J18" s="30"/>
      <c r="K18" s="28" t="s">
        <v>16</v>
      </c>
      <c r="L18" s="39">
        <f>IF(K18="да",2,0)</f>
        <v>2</v>
      </c>
      <c r="M18" s="30"/>
    </row>
    <row r="19" ht="29.25" customHeight="1">
      <c r="A19" s="51" t="s">
        <v>59</v>
      </c>
      <c r="B19" s="52">
        <v>14.0</v>
      </c>
      <c r="C19" s="53" t="s">
        <v>39</v>
      </c>
      <c r="D19" s="54" t="s">
        <v>22</v>
      </c>
      <c r="E19" s="28" t="s">
        <v>16</v>
      </c>
      <c r="F19" s="39">
        <f t="shared" ref="F19:F22" si="10">IF(E19="да",4,0)</f>
        <v>4</v>
      </c>
      <c r="G19" s="30"/>
      <c r="H19" s="28" t="s">
        <v>16</v>
      </c>
      <c r="I19" s="39">
        <f t="shared" ref="I19:I22" si="11">IF(H19="да",4,0)</f>
        <v>4</v>
      </c>
      <c r="J19" s="30"/>
      <c r="K19" s="28" t="s">
        <v>16</v>
      </c>
      <c r="L19" s="39">
        <f t="shared" ref="L19:L22" si="12">IF(K19="да",4,0)</f>
        <v>4</v>
      </c>
      <c r="M19" s="30"/>
    </row>
    <row r="20" ht="34.5" customHeight="1">
      <c r="A20" s="32"/>
      <c r="B20" s="52">
        <v>15.0</v>
      </c>
      <c r="C20" s="53" t="s">
        <v>60</v>
      </c>
      <c r="D20" s="54" t="s">
        <v>22</v>
      </c>
      <c r="E20" s="28" t="s">
        <v>16</v>
      </c>
      <c r="F20" s="39">
        <f t="shared" si="10"/>
        <v>4</v>
      </c>
      <c r="G20" s="30"/>
      <c r="H20" s="28" t="s">
        <v>16</v>
      </c>
      <c r="I20" s="39">
        <f t="shared" si="11"/>
        <v>4</v>
      </c>
      <c r="J20" s="30"/>
      <c r="K20" s="28" t="s">
        <v>16</v>
      </c>
      <c r="L20" s="39">
        <f t="shared" si="12"/>
        <v>4</v>
      </c>
      <c r="M20" s="30"/>
    </row>
    <row r="21" ht="51.75" customHeight="1">
      <c r="A21" s="32"/>
      <c r="B21" s="52">
        <v>16.0</v>
      </c>
      <c r="C21" s="53" t="s">
        <v>41</v>
      </c>
      <c r="D21" s="54" t="s">
        <v>22</v>
      </c>
      <c r="E21" s="28" t="s">
        <v>16</v>
      </c>
      <c r="F21" s="39">
        <f t="shared" si="10"/>
        <v>4</v>
      </c>
      <c r="G21" s="30"/>
      <c r="H21" s="28" t="s">
        <v>16</v>
      </c>
      <c r="I21" s="39">
        <f t="shared" si="11"/>
        <v>4</v>
      </c>
      <c r="J21" s="30"/>
      <c r="K21" s="28" t="s">
        <v>16</v>
      </c>
      <c r="L21" s="39">
        <f t="shared" si="12"/>
        <v>4</v>
      </c>
      <c r="M21" s="30"/>
    </row>
    <row r="22" ht="42.75" customHeight="1">
      <c r="A22" s="34"/>
      <c r="B22" s="52">
        <v>17.0</v>
      </c>
      <c r="C22" s="53" t="s">
        <v>43</v>
      </c>
      <c r="D22" s="54" t="s">
        <v>22</v>
      </c>
      <c r="E22" s="28" t="s">
        <v>16</v>
      </c>
      <c r="F22" s="39">
        <f t="shared" si="10"/>
        <v>4</v>
      </c>
      <c r="G22" s="30"/>
      <c r="H22" s="28" t="s">
        <v>16</v>
      </c>
      <c r="I22" s="39">
        <f t="shared" si="11"/>
        <v>4</v>
      </c>
      <c r="J22" s="30"/>
      <c r="K22" s="28" t="s">
        <v>16</v>
      </c>
      <c r="L22" s="39">
        <f t="shared" si="12"/>
        <v>4</v>
      </c>
      <c r="M22" s="30"/>
    </row>
    <row r="23" ht="48.0" customHeight="1">
      <c r="A23" s="74" t="s">
        <v>61</v>
      </c>
      <c r="B23" s="75">
        <v>18.0</v>
      </c>
      <c r="C23" s="76" t="s">
        <v>62</v>
      </c>
      <c r="D23" s="77" t="s">
        <v>25</v>
      </c>
      <c r="E23" s="28" t="s">
        <v>16</v>
      </c>
      <c r="F23" s="39">
        <f>IF(E23="да",5,0)</f>
        <v>5</v>
      </c>
      <c r="G23" s="30"/>
      <c r="H23" s="28" t="s">
        <v>16</v>
      </c>
      <c r="I23" s="39">
        <f>IF(H23="да",5,0)</f>
        <v>5</v>
      </c>
      <c r="J23" s="30"/>
      <c r="K23" s="28" t="s">
        <v>16</v>
      </c>
      <c r="L23" s="39">
        <f>IF(K23="да",5,0)</f>
        <v>5</v>
      </c>
      <c r="M23" s="30"/>
    </row>
    <row r="24" ht="30.0" customHeight="1">
      <c r="A24" s="57" t="s">
        <v>44</v>
      </c>
      <c r="B24" s="58">
        <v>19.0</v>
      </c>
      <c r="C24" s="59" t="s">
        <v>45</v>
      </c>
      <c r="D24" s="60" t="s">
        <v>37</v>
      </c>
      <c r="E24" s="28" t="s">
        <v>16</v>
      </c>
      <c r="F24" s="39">
        <f>IF(E24="да",2,0)</f>
        <v>2</v>
      </c>
      <c r="G24" s="30"/>
      <c r="H24" s="28" t="s">
        <v>16</v>
      </c>
      <c r="I24" s="39">
        <f>IF(H24="да",2,0)</f>
        <v>2</v>
      </c>
      <c r="J24" s="30"/>
      <c r="K24" s="28" t="s">
        <v>16</v>
      </c>
      <c r="L24" s="39">
        <f>IF(K24="да",2,0)</f>
        <v>2</v>
      </c>
      <c r="M24" s="30"/>
    </row>
    <row r="25" ht="41.25" customHeight="1">
      <c r="A25" s="32"/>
      <c r="B25" s="58">
        <v>20.0</v>
      </c>
      <c r="C25" s="59" t="s">
        <v>46</v>
      </c>
      <c r="D25" s="60" t="s">
        <v>25</v>
      </c>
      <c r="E25" s="28" t="s">
        <v>54</v>
      </c>
      <c r="F25" s="39">
        <f>IF(E25="да",5,0)</f>
        <v>0</v>
      </c>
      <c r="G25" s="28" t="s">
        <v>63</v>
      </c>
      <c r="H25" s="28" t="s">
        <v>54</v>
      </c>
      <c r="I25" s="39">
        <f>IF(H25="да",5,0)</f>
        <v>0</v>
      </c>
      <c r="J25" s="28" t="s">
        <v>63</v>
      </c>
      <c r="K25" s="28" t="s">
        <v>54</v>
      </c>
      <c r="L25" s="39">
        <f>IF(K25="да",5,0)</f>
        <v>0</v>
      </c>
      <c r="M25" s="28" t="s">
        <v>63</v>
      </c>
    </row>
    <row r="26" ht="41.25" customHeight="1">
      <c r="A26" s="32"/>
      <c r="B26" s="58">
        <v>21.0</v>
      </c>
      <c r="C26" s="59" t="s">
        <v>47</v>
      </c>
      <c r="D26" s="60" t="s">
        <v>48</v>
      </c>
      <c r="E26" s="61" t="s">
        <v>16</v>
      </c>
      <c r="F26" s="39">
        <f>IF(E26="да",12,0)</f>
        <v>12</v>
      </c>
      <c r="G26" s="73"/>
      <c r="H26" s="61" t="s">
        <v>54</v>
      </c>
      <c r="I26" s="39">
        <f>IF(H26="да",12,0)</f>
        <v>0</v>
      </c>
      <c r="J26" s="73"/>
      <c r="K26" s="61" t="s">
        <v>16</v>
      </c>
      <c r="L26" s="39">
        <f>IF(K26="да",12,0)</f>
        <v>12</v>
      </c>
      <c r="M26" s="73"/>
    </row>
    <row r="27" ht="38.25" customHeight="1">
      <c r="A27" s="62" t="s">
        <v>49</v>
      </c>
      <c r="B27" s="5"/>
      <c r="C27" s="5"/>
      <c r="D27" s="2"/>
      <c r="E27" s="63">
        <f>SUM(F6:F26)</f>
        <v>91</v>
      </c>
      <c r="F27" s="5"/>
      <c r="G27" s="6"/>
      <c r="H27" s="63">
        <f>SUM(I6:I26)</f>
        <v>69</v>
      </c>
      <c r="I27" s="5"/>
      <c r="J27" s="6"/>
      <c r="K27" s="63">
        <f>SUM(L6:L26)</f>
        <v>95</v>
      </c>
      <c r="L27" s="5"/>
      <c r="M27" s="6"/>
    </row>
    <row r="28" ht="33.75" customHeight="1">
      <c r="A28" s="65"/>
      <c r="B28" s="65"/>
      <c r="C28" s="66" t="s">
        <v>50</v>
      </c>
      <c r="D28" s="65"/>
      <c r="E28" s="66"/>
      <c r="F28" s="67"/>
      <c r="G28" s="68">
        <v>46082.0</v>
      </c>
      <c r="H28" s="66"/>
      <c r="I28" s="67"/>
      <c r="J28" s="68">
        <v>46083.0</v>
      </c>
      <c r="K28" s="66"/>
      <c r="L28" s="67"/>
      <c r="M28" s="68">
        <v>46083.0</v>
      </c>
    </row>
    <row r="29" ht="15.75" customHeight="1">
      <c r="A29" s="69"/>
      <c r="B29" s="69"/>
      <c r="C29" s="69"/>
      <c r="D29" s="69"/>
      <c r="E29" s="70"/>
      <c r="F29" s="71"/>
      <c r="G29" s="70"/>
      <c r="H29" s="70"/>
      <c r="I29" s="71"/>
      <c r="J29" s="70"/>
      <c r="K29" s="70"/>
      <c r="L29" s="71"/>
      <c r="M29" s="70"/>
    </row>
  </sheetData>
  <mergeCells count="27">
    <mergeCell ref="H2:J2"/>
    <mergeCell ref="K2:M2"/>
    <mergeCell ref="A1:B1"/>
    <mergeCell ref="C1:D1"/>
    <mergeCell ref="E1:G1"/>
    <mergeCell ref="H1:J1"/>
    <mergeCell ref="K1:M1"/>
    <mergeCell ref="A2:D2"/>
    <mergeCell ref="E2:G2"/>
    <mergeCell ref="A3:D3"/>
    <mergeCell ref="E3:G3"/>
    <mergeCell ref="H3:J3"/>
    <mergeCell ref="K3:M3"/>
    <mergeCell ref="E4:G4"/>
    <mergeCell ref="H4:J4"/>
    <mergeCell ref="K4:M4"/>
    <mergeCell ref="A27:D27"/>
    <mergeCell ref="E27:G27"/>
    <mergeCell ref="H27:J27"/>
    <mergeCell ref="K27:M27"/>
    <mergeCell ref="A4:D4"/>
    <mergeCell ref="A6:A8"/>
    <mergeCell ref="A9:A12"/>
    <mergeCell ref="A13:A14"/>
    <mergeCell ref="A15:A18"/>
    <mergeCell ref="A19:A22"/>
    <mergeCell ref="A24:A26"/>
  </mergeCells>
  <conditionalFormatting sqref="E27:M27">
    <cfRule type="colorScale" priority="1">
      <colorScale>
        <cfvo type="min"/>
        <cfvo type="formula" val="85"/>
        <cfvo type="formula" val="100"/>
        <color rgb="FFFF0000"/>
        <color rgb="FFFFFF00"/>
        <color rgb="FF93C47D"/>
      </colorScale>
    </cfRule>
  </conditionalFormatting>
  <dataValidations>
    <dataValidation type="list" allowBlank="1" showErrorMessage="1" sqref="E6:E26 H6:H26 K6:K26">
      <formula1>"да,нет"</formula1>
    </dataValidation>
  </dataValidations>
  <hyperlinks>
    <hyperlink r:id="rId1" ref="E4"/>
    <hyperlink r:id="rId2" ref="H4"/>
    <hyperlink r:id="rId3" ref="K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9.5"/>
  </cols>
  <sheetData>
    <row r="1" ht="20.25" customHeight="1">
      <c r="A1" s="78" t="s">
        <v>64</v>
      </c>
    </row>
    <row r="2" ht="16.5" customHeight="1">
      <c r="A2" s="78" t="s">
        <v>65</v>
      </c>
    </row>
    <row r="3" ht="12.75" customHeight="1">
      <c r="A3" s="78" t="s">
        <v>66</v>
      </c>
    </row>
    <row r="4" ht="12.0" customHeight="1">
      <c r="A4" s="78" t="s">
        <v>67</v>
      </c>
    </row>
    <row r="5" ht="13.5" customHeight="1">
      <c r="A5" s="78" t="s">
        <v>68</v>
      </c>
    </row>
    <row r="6" ht="17.25" customHeight="1">
      <c r="A6" s="78" t="s">
        <v>69</v>
      </c>
    </row>
    <row r="7" ht="15.0" customHeight="1">
      <c r="A7" s="78" t="s">
        <v>70</v>
      </c>
    </row>
    <row r="8" ht="12.0" customHeight="1">
      <c r="A8" s="78" t="s">
        <v>71</v>
      </c>
    </row>
    <row r="9" ht="16.5" customHeight="1">
      <c r="A9" s="78" t="s">
        <v>72</v>
      </c>
    </row>
    <row r="10" ht="19.5" customHeight="1">
      <c r="A10" s="79" t="s">
        <v>73</v>
      </c>
    </row>
    <row r="11" ht="16.5" customHeight="1">
      <c r="A11" s="80" t="s">
        <v>74</v>
      </c>
    </row>
    <row r="12" ht="13.5" customHeight="1">
      <c r="A12" s="79" t="s">
        <v>75</v>
      </c>
    </row>
    <row r="13" ht="15.0" customHeight="1">
      <c r="A13" s="80" t="s">
        <v>76</v>
      </c>
    </row>
    <row r="14" ht="12.0" customHeight="1">
      <c r="A14" s="79" t="s">
        <v>77</v>
      </c>
    </row>
    <row r="15" ht="20.25" customHeight="1">
      <c r="A15" s="80" t="s">
        <v>78</v>
      </c>
    </row>
    <row r="16" ht="15.75" customHeight="1">
      <c r="A16" s="79" t="s">
        <v>79</v>
      </c>
    </row>
    <row r="17" ht="19.5" customHeight="1">
      <c r="A17" s="79" t="s">
        <v>80</v>
      </c>
    </row>
    <row r="18" ht="21.75" customHeight="1">
      <c r="A18" s="79" t="s">
        <v>81</v>
      </c>
    </row>
    <row r="19" ht="17.25" customHeight="1">
      <c r="A19" s="79" t="s">
        <v>82</v>
      </c>
    </row>
    <row r="20" ht="16.5" customHeight="1">
      <c r="A20" s="81"/>
    </row>
    <row r="21" ht="15.0" customHeight="1">
      <c r="A21" s="81"/>
    </row>
    <row r="22" ht="18.0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3"/>
    </row>
    <row r="36" ht="15.75" customHeight="1">
      <c r="A36" s="83"/>
    </row>
    <row r="37" ht="15.75" customHeight="1">
      <c r="A37" s="83"/>
    </row>
    <row r="38" ht="15.75" customHeight="1">
      <c r="A38" s="83"/>
    </row>
    <row r="39" ht="15.75" customHeight="1">
      <c r="A39" s="83"/>
    </row>
    <row r="40" ht="15.75" customHeight="1">
      <c r="A40" s="83"/>
    </row>
    <row r="41" ht="15.75" customHeight="1">
      <c r="A41" s="83"/>
    </row>
    <row r="42" ht="15.75" customHeight="1">
      <c r="A42" s="83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1"/>
    </row>
    <row r="52" ht="15.75" customHeight="1">
      <c r="A52" s="83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1"/>
    </row>
    <row r="58" ht="15.75" customHeight="1">
      <c r="A58" s="84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5"/>
    </row>
    <row r="63" ht="15.75" customHeight="1">
      <c r="A63" s="81"/>
    </row>
    <row r="64" ht="15.75" customHeight="1">
      <c r="A64" s="82"/>
    </row>
    <row r="65" ht="15.75" customHeight="1">
      <c r="A65" s="86"/>
    </row>
    <row r="66" ht="15.75" customHeight="1">
      <c r="A66" s="82"/>
    </row>
    <row r="67" ht="15.75" customHeight="1">
      <c r="A67" s="81"/>
    </row>
    <row r="68" ht="15.75" customHeight="1">
      <c r="A68" s="81"/>
    </row>
    <row r="69" ht="15.75" customHeight="1">
      <c r="A69" s="85"/>
    </row>
    <row r="70" ht="15.75" customHeight="1">
      <c r="A70" s="86"/>
    </row>
    <row r="71" ht="15.75" customHeight="1">
      <c r="A71" s="81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  <tableParts count="2">
    <tablePart r:id="rId23"/>
    <tablePart r:id="rId2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